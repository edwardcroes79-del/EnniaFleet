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M:\Facilities\Bedrijfsauto\ENNIA\"/>
    </mc:Choice>
  </mc:AlternateContent>
  <xr:revisionPtr revIDLastSave="0" documentId="8_{B1C5093D-4A4C-42A6-B032-947C28CF738D}" xr6:coauthVersionLast="47" xr6:coauthVersionMax="47" xr10:uidLastSave="{00000000-0000-0000-0000-000000000000}"/>
  <bookViews>
    <workbookView xWindow="-108" yWindow="-108" windowWidth="23256" windowHeight="13896" xr2:uid="{34E4AC74-4075-458B-BD9E-8D6F35CA5AC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6" i="1" l="1"/>
  <c r="E5" i="1"/>
  <c r="B11" i="1"/>
  <c r="B13" i="1" s="1"/>
  <c r="B15" i="1" l="1"/>
  <c r="E7" i="1" s="1"/>
  <c r="B17" i="1" s="1"/>
</calcChain>
</file>

<file path=xl/sharedStrings.xml><?xml version="1.0" encoding="utf-8"?>
<sst xmlns="http://schemas.openxmlformats.org/spreadsheetml/2006/main" count="20" uniqueCount="20">
  <si>
    <t>Factuurwaarde</t>
  </si>
  <si>
    <t>Afschrijving Bedrijfsauto ENNIA</t>
  </si>
  <si>
    <t>Gegevens auto:</t>
  </si>
  <si>
    <t>Merk:</t>
  </si>
  <si>
    <t xml:space="preserve">Type: </t>
  </si>
  <si>
    <t>Ingangsdatum:</t>
  </si>
  <si>
    <t>Restwaarde</t>
  </si>
  <si>
    <t>Factuurwaarde = verkoopprijs</t>
  </si>
  <si>
    <t>Restwaarde = boekwaarde</t>
  </si>
  <si>
    <t>Afschrijvingskosten is over 60 maande (5 jaar levensduur)</t>
  </si>
  <si>
    <t>Afschrijvingskosten 60 mnd</t>
  </si>
  <si>
    <t xml:space="preserve">Vervangingsdatum: </t>
  </si>
  <si>
    <t>Additionele afschrijvingkosten</t>
  </si>
  <si>
    <t>Afschrijvingskosten p/m</t>
  </si>
  <si>
    <t>Restwaarde/Boekwaarde</t>
  </si>
  <si>
    <t>Totale afschrijving</t>
  </si>
  <si>
    <t>Totale maanden:</t>
  </si>
  <si>
    <t>Bouwjaar:</t>
  </si>
  <si>
    <t>Volkswagen</t>
  </si>
  <si>
    <t>Caddy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</si>
</sst>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3]mmm\-yy;@"/>
  </numFmts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4" fontId="0" fillId="0" borderId="0" xfId="0" applyNumberFormat="1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1" fillId="0" borderId="5" xfId="0" applyFont="1" applyBorder="1"/>
    <xf numFmtId="0" fontId="1" fillId="0" borderId="0" xfId="0" applyFont="1" applyBorder="1"/>
    <xf numFmtId="1" fontId="0" fillId="0" borderId="0" xfId="0" applyNumberFormat="1" applyBorder="1"/>
    <xf numFmtId="2" fontId="0" fillId="0" borderId="0" xfId="0" applyNumberFormat="1" applyBorder="1"/>
    <xf numFmtId="0" fontId="0" fillId="0" borderId="7" xfId="0" applyBorder="1"/>
    <xf numFmtId="0" fontId="0" fillId="0" borderId="1" xfId="0" applyBorder="1"/>
    <xf numFmtId="0" fontId="0" fillId="0" borderId="8" xfId="0" applyBorder="1"/>
    <xf numFmtId="0" fontId="0" fillId="0" borderId="0" xfId="0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64" fontId="0" fillId="2" borderId="0" xfId="0" applyNumberFormat="1" applyFill="1" applyBorder="1"/>
    <xf numFmtId="4" fontId="0" fillId="2" borderId="0" xfId="0" applyNumberFormat="1" applyFill="1" applyBorder="1"/>
    <xf numFmtId="2" fontId="0" fillId="0" borderId="0" xfId="0" applyNumberFormat="1" applyBorder="1" applyProtection="1">
      <protection hidden="1"/>
    </xf>
    <xf numFmtId="4" fontId="0" fillId="0" borderId="0" xfId="0" applyNumberFormat="1" applyBorder="1" applyProtection="1">
      <protection hidden="1"/>
    </xf>
    <xf numFmtId="4" fontId="0" fillId="0" borderId="1" xfId="0" applyNumberFormat="1" applyBorder="1" applyProtection="1">
      <protection hidden="1"/>
    </xf>
    <xf numFmtId="2" fontId="1" fillId="2" borderId="0" xfId="0" applyNumberFormat="1" applyFont="1" applyFill="1" applyBorder="1" applyProtection="1"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220981</xdr:colOff>
      <xdr:row>0</xdr:row>
      <xdr:rowOff>15240</xdr:rowOff>
    </xdr:from>
    <xdr:to>
      <xdr:col>0</xdr:col>
      <xdr:colOff>1232245</xdr:colOff>
      <xdr:row>0</xdr:row>
      <xdr:rowOff>472440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34225A-3FB0-A877-9906-A6739AAD2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1" y="15240"/>
          <a:ext cx="1011264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64CCB-427A-401B-A332-E1D56FC5B66D}">
  <dimension ref="A1:J22"/>
  <sheetViews>
    <sheetView tabSelected="1" workbookViewId="0">
      <selection activeCell="B17" sqref="B17"/>
    </sheetView>
  </sheetViews>
  <sheetFormatPr defaultRowHeight="13.2" x14ac:dyDescent="0.25"/>
  <cols>
    <col min="1" max="1" width="24.88671875" customWidth="1"/>
    <col min="2" max="2" width="22.5546875" customWidth="1"/>
    <col min="3" max="3" width="6.44140625" customWidth="1"/>
    <col min="4" max="4" width="20.21875" bestFit="1" customWidth="1"/>
    <col min="5" max="5" width="9.44140625" customWidth="1"/>
  </cols>
  <sheetData>
    <row r="1" spans="1:10" ht="40.799999999999997" customHeight="1" x14ac:dyDescent="0.3">
      <c r="A1" s="13" t="s">
        <v>1</v>
      </c>
      <c r="B1" s="14"/>
      <c r="C1" s="14"/>
      <c r="D1" s="14"/>
      <c r="E1" s="14"/>
      <c r="F1" s="14"/>
      <c r="G1" s="14"/>
      <c r="H1" s="14"/>
      <c r="I1" s="14"/>
      <c r="J1" s="15"/>
    </row>
    <row r="2" spans="1:10" x14ac:dyDescent="0.25">
      <c r="A2" s="2"/>
      <c r="B2" s="3"/>
      <c r="C2" s="3"/>
      <c r="D2" s="3"/>
      <c r="E2" s="3"/>
      <c r="F2" s="3"/>
      <c r="G2" s="3"/>
      <c r="H2" s="3"/>
      <c r="I2" s="3"/>
      <c r="J2" s="4"/>
    </row>
    <row r="3" spans="1:10" x14ac:dyDescent="0.25">
      <c r="A3" s="5" t="s">
        <v>2</v>
      </c>
      <c r="B3" s="3"/>
      <c r="C3" s="3"/>
      <c r="D3" s="3" t="s">
        <v>5</v>
      </c>
      <c r="E3" s="16">
        <v>46235</v>
      </c>
      <c r="F3" s="3"/>
      <c r="G3" s="3"/>
      <c r="H3" s="3"/>
      <c r="I3" s="3"/>
      <c r="J3" s="4"/>
    </row>
    <row r="4" spans="1:10" x14ac:dyDescent="0.25">
      <c r="A4" s="2" t="s">
        <v>3</v>
      </c>
      <c r="B4" s="12" t="s">
        <v>18</v>
      </c>
      <c r="C4" s="12"/>
      <c r="D4" s="3" t="s">
        <v>11</v>
      </c>
      <c r="E4" s="16">
        <v>48061</v>
      </c>
      <c r="F4" s="3"/>
      <c r="G4" s="3"/>
      <c r="H4" s="3"/>
      <c r="I4" s="3"/>
      <c r="J4" s="4"/>
    </row>
    <row r="5" spans="1:10" x14ac:dyDescent="0.25">
      <c r="A5" s="2" t="s">
        <v>4</v>
      </c>
      <c r="B5" s="12" t="s">
        <v>19</v>
      </c>
      <c r="C5" s="12"/>
      <c r="D5" s="6" t="s">
        <v>16</v>
      </c>
      <c r="E5" s="7">
        <f>DATEDIF(E3,E4,"m")</f>
        <v>60</v>
      </c>
      <c r="F5" s="3"/>
      <c r="G5" s="3"/>
      <c r="H5" s="3"/>
      <c r="I5" s="3"/>
      <c r="J5" s="4"/>
    </row>
    <row r="6" spans="1:10" x14ac:dyDescent="0.25">
      <c r="A6" s="2" t="s">
        <v>17</v>
      </c>
      <c r="B6" s="12">
        <v>2021</v>
      </c>
      <c r="C6" s="12"/>
      <c r="D6" s="3" t="s">
        <v>13</v>
      </c>
      <c r="E6" s="18">
        <f>B13/60</f>
        <v>799.33333333333337</v>
      </c>
      <c r="F6" s="3"/>
      <c r="G6" s="3"/>
      <c r="H6" s="3"/>
      <c r="I6" s="3"/>
      <c r="J6" s="4"/>
    </row>
    <row r="7" spans="1:10" x14ac:dyDescent="0.25">
      <c r="A7" s="2"/>
      <c r="B7" s="3"/>
      <c r="C7" s="3"/>
      <c r="D7" s="3" t="s">
        <v>15</v>
      </c>
      <c r="E7" s="19">
        <f>B13+B15</f>
        <v>47960</v>
      </c>
      <c r="F7" s="3"/>
      <c r="G7" s="3"/>
      <c r="H7" s="3"/>
      <c r="I7" s="3"/>
      <c r="J7" s="4"/>
    </row>
    <row r="8" spans="1:10" x14ac:dyDescent="0.25">
      <c r="A8" s="2"/>
      <c r="B8" s="3"/>
      <c r="C8" s="3"/>
      <c r="D8" s="3"/>
      <c r="E8" s="3"/>
      <c r="F8" s="3"/>
      <c r="G8" s="3"/>
      <c r="H8" s="3"/>
      <c r="I8" s="3"/>
      <c r="J8" s="4"/>
    </row>
    <row r="9" spans="1:10" x14ac:dyDescent="0.25">
      <c r="A9" s="2"/>
      <c r="B9" s="3"/>
      <c r="C9" s="3"/>
      <c r="D9" s="3"/>
      <c r="E9" s="3"/>
      <c r="F9" s="3"/>
      <c r="G9" s="3"/>
      <c r="H9" s="3"/>
      <c r="I9" s="3"/>
      <c r="J9" s="4"/>
    </row>
    <row r="10" spans="1:10" x14ac:dyDescent="0.25">
      <c r="A10" s="2" t="s">
        <v>0</v>
      </c>
      <c r="B10" s="17">
        <v>59950</v>
      </c>
      <c r="C10" s="1"/>
      <c r="D10" s="3"/>
      <c r="E10" s="3"/>
      <c r="F10" s="3"/>
      <c r="G10" s="3"/>
      <c r="H10" s="3"/>
      <c r="I10" s="3"/>
      <c r="J10" s="4"/>
    </row>
    <row r="11" spans="1:10" x14ac:dyDescent="0.25">
      <c r="A11" s="2" t="s">
        <v>6</v>
      </c>
      <c r="B11" s="20">
        <f>20% * B10</f>
        <v>11990</v>
      </c>
      <c r="C11" s="1"/>
      <c r="D11" s="3"/>
      <c r="E11" s="3"/>
      <c r="F11" s="3"/>
      <c r="G11" s="3"/>
      <c r="H11" s="3"/>
      <c r="I11" s="3"/>
      <c r="J11" s="4"/>
    </row>
    <row r="12" spans="1:10" x14ac:dyDescent="0.25">
      <c r="A12" s="2"/>
      <c r="B12" s="1"/>
      <c r="C12" s="1"/>
      <c r="D12" s="3"/>
      <c r="E12" s="3"/>
      <c r="F12" s="3"/>
      <c r="G12" s="3"/>
      <c r="H12" s="3"/>
      <c r="I12" s="3"/>
      <c r="J12" s="4"/>
    </row>
    <row r="13" spans="1:10" x14ac:dyDescent="0.25">
      <c r="A13" s="2" t="s">
        <v>10</v>
      </c>
      <c r="B13" s="19">
        <f>B10-B11</f>
        <v>47960</v>
      </c>
      <c r="C13" s="1"/>
      <c r="D13" s="3"/>
      <c r="E13" s="3"/>
      <c r="F13" s="3"/>
      <c r="G13" s="3"/>
      <c r="H13" s="3"/>
      <c r="I13" s="3"/>
      <c r="J13" s="4"/>
    </row>
    <row r="14" spans="1:10" x14ac:dyDescent="0.25">
      <c r="A14" s="2"/>
      <c r="B14" s="1"/>
      <c r="C14" s="1"/>
      <c r="D14" s="3"/>
      <c r="E14" s="3"/>
      <c r="F14" s="3"/>
      <c r="G14" s="3"/>
      <c r="H14" s="3"/>
      <c r="I14" s="3"/>
      <c r="J14" s="4"/>
    </row>
    <row r="15" spans="1:10" x14ac:dyDescent="0.25">
      <c r="A15" s="2" t="s">
        <v>12</v>
      </c>
      <c r="B15" s="20">
        <f>IF(E5&gt;60,(E5-60)*(B13/60),0)</f>
        <v>0</v>
      </c>
      <c r="C15" s="1"/>
      <c r="D15" s="3"/>
      <c r="E15" s="3"/>
      <c r="F15" s="3"/>
      <c r="G15" s="3"/>
      <c r="H15" s="3"/>
      <c r="I15" s="3"/>
      <c r="J15" s="4"/>
    </row>
    <row r="16" spans="1:10" x14ac:dyDescent="0.25">
      <c r="A16" s="2"/>
      <c r="B16" s="1"/>
      <c r="C16" s="1"/>
      <c r="D16" s="3"/>
      <c r="E16" s="3"/>
      <c r="F16" s="3"/>
      <c r="G16" s="3"/>
      <c r="H16" s="3"/>
      <c r="I16" s="3"/>
      <c r="J16" s="4"/>
    </row>
    <row r="17" spans="1:10" x14ac:dyDescent="0.25">
      <c r="A17" s="2" t="s">
        <v>14</v>
      </c>
      <c r="B17" s="21">
        <f>B10-E7</f>
        <v>11990</v>
      </c>
      <c r="C17" s="8"/>
      <c r="D17" s="3"/>
      <c r="E17" s="3"/>
      <c r="F17" s="3"/>
      <c r="G17" s="3"/>
      <c r="H17" s="3"/>
      <c r="I17" s="3"/>
      <c r="J17" s="4"/>
    </row>
    <row r="18" spans="1:10" x14ac:dyDescent="0.25">
      <c r="A18" s="2"/>
      <c r="B18" s="3"/>
      <c r="C18" s="3"/>
      <c r="D18" s="3"/>
      <c r="E18" s="3"/>
      <c r="F18" s="3"/>
      <c r="G18" s="3"/>
      <c r="H18" s="3"/>
      <c r="I18" s="3"/>
      <c r="J18" s="4"/>
    </row>
    <row r="19" spans="1:10" x14ac:dyDescent="0.25">
      <c r="A19" s="2"/>
      <c r="B19" s="3"/>
      <c r="C19" s="3"/>
      <c r="D19" s="3"/>
      <c r="E19" s="3"/>
      <c r="F19" s="3"/>
      <c r="G19" s="3"/>
      <c r="H19" s="3"/>
      <c r="I19" s="3"/>
      <c r="J19" s="4"/>
    </row>
    <row r="20" spans="1:10" x14ac:dyDescent="0.25">
      <c r="A20" s="2"/>
      <c r="B20" s="3"/>
      <c r="C20" s="3"/>
      <c r="D20" s="3"/>
      <c r="E20" s="3"/>
      <c r="F20" s="3"/>
      <c r="G20" s="3"/>
      <c r="H20" s="3"/>
      <c r="I20" s="3"/>
      <c r="J20" s="4"/>
    </row>
    <row r="21" spans="1:10" x14ac:dyDescent="0.25">
      <c r="A21" s="2"/>
      <c r="B21" s="3"/>
      <c r="C21" s="3"/>
      <c r="D21" s="3"/>
      <c r="E21" s="3"/>
      <c r="F21" s="3"/>
      <c r="G21" s="3"/>
      <c r="H21" s="3"/>
      <c r="I21" s="3"/>
      <c r="J21" s="4"/>
    </row>
    <row r="22" spans="1:10" x14ac:dyDescent="0.25">
      <c r="A22" s="9"/>
      <c r="B22" s="10"/>
      <c r="C22" s="10"/>
      <c r="D22" s="10"/>
      <c r="E22" s="10"/>
      <c r="F22" s="10"/>
      <c r="G22" s="10"/>
      <c r="H22" s="10"/>
      <c r="I22" s="10"/>
      <c r="J22" s="11"/>
    </row>
  </sheetData>
  <mergeCells count="4">
    <mergeCell ref="B4:C4"/>
    <mergeCell ref="B5:C5"/>
    <mergeCell ref="B6:C6"/>
    <mergeCell ref="A1:J1"/>
  </mergeCells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092E7-C30B-48A9-91EF-6CE78AE59414}">
  <dimension ref="A2:A4"/>
  <sheetViews>
    <sheetView workbookViewId="0">
      <selection activeCell="B1" sqref="B1:B1048576"/>
    </sheetView>
  </sheetViews>
  <sheetFormatPr defaultRowHeight="13.2" x14ac:dyDescent="0.25"/>
  <cols>
    <col min="1" max="1" width="48.5546875" bestFit="1" customWidth="1"/>
  </cols>
  <sheetData>
    <row r="2" spans="1:1" x14ac:dyDescent="0.25">
      <c r="A2" t="s">
        <v>7</v>
      </c>
    </row>
    <row r="3" spans="1:1" x14ac:dyDescent="0.25">
      <c r="A3" t="s">
        <v>8</v>
      </c>
    </row>
    <row r="4" spans="1:1" x14ac:dyDescent="0.25">
      <c r="A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Ennia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Rusette Croes</dc:creator>
  <cp:lastModifiedBy>Edward Croes</cp:lastModifiedBy>
  <cp:lastPrinted>2026-08-17T19:13:02Z</cp:lastPrinted>
  <dcterms:created xsi:type="dcterms:W3CDTF">2026-08-17T18:44:10Z</dcterms:created>
  <dcterms:modified xsi:type="dcterms:W3CDTF">2026-08-18T18:27:45Z</dcterms:modified>
</cp:coreProperties>
</file>